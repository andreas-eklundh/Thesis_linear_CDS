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25ec18ff9d9d96f3/KU^J MAT-OEK/Kandidat/Thesis/Thesis_linear_CDS/Simulation_studies/"/>
    </mc:Choice>
  </mc:AlternateContent>
  <xr:revisionPtr revIDLastSave="20" documentId="11_085D22EF516BA40E6235547658DDD67B807B86C0" xr6:coauthVersionLast="47" xr6:coauthVersionMax="47" xr10:uidLastSave="{BEE2106E-C2DC-4650-8585-DF36C901939E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N3" i="1"/>
  <c r="L3" i="1"/>
</calcChain>
</file>

<file path=xl/sharedStrings.xml><?xml version="1.0" encoding="utf-8"?>
<sst xmlns="http://schemas.openxmlformats.org/spreadsheetml/2006/main" count="19" uniqueCount="19">
  <si>
    <t>Parameter</t>
  </si>
  <si>
    <t>Estimated Kalman</t>
  </si>
  <si>
    <t>SE</t>
  </si>
  <si>
    <t>LogLike</t>
  </si>
  <si>
    <t>Filipovic</t>
  </si>
  <si>
    <t>True</t>
  </si>
  <si>
    <t>Abs Error, Kalman</t>
  </si>
  <si>
    <t>Rel Error (%), Kalman</t>
  </si>
  <si>
    <t>Abs Error, Filipovic</t>
  </si>
  <si>
    <t>Rel Error (%), Filipovic</t>
  </si>
  <si>
    <t>kappa1</t>
  </si>
  <si>
    <t>theta1</t>
  </si>
  <si>
    <t>gamma1</t>
  </si>
  <si>
    <t>lambda1</t>
  </si>
  <si>
    <t>sigma1</t>
  </si>
  <si>
    <t>sigma_err</t>
  </si>
  <si>
    <t>prod</t>
  </si>
  <si>
    <t>ltv</t>
  </si>
  <si>
    <t>ltv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</si>
</sst>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"/>
  <sheetViews>
    <sheetView tabSelected="1" workbookViewId="0">
      <selection activeCell="M4" sqref="M4"/>
    </sheetView>
  </sheetViews>
  <sheetFormatPr defaultRowHeight="14.5" x14ac:dyDescent="0.35"/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4" x14ac:dyDescent="0.35">
      <c r="A2" t="s">
        <v>10</v>
      </c>
      <c r="B2">
        <v>0.45489238485118022</v>
      </c>
      <c r="C2">
        <v>2.196877590438544</v>
      </c>
      <c r="D2">
        <v>41638.761815963997</v>
      </c>
      <c r="E2">
        <v>0.45488407323600388</v>
      </c>
      <c r="F2">
        <v>0.45488407323600433</v>
      </c>
      <c r="G2">
        <v>8.3116151758932943E-6</v>
      </c>
      <c r="H2">
        <v>1.8271941500974549E-3</v>
      </c>
      <c r="I2">
        <v>3.8857805861880479E-16</v>
      </c>
      <c r="J2">
        <v>8.5423535683387531E-14</v>
      </c>
      <c r="L2" t="s">
        <v>17</v>
      </c>
      <c r="M2" t="s">
        <v>16</v>
      </c>
      <c r="N2" t="s">
        <v>18</v>
      </c>
    </row>
    <row r="3" spans="1:14" x14ac:dyDescent="0.35">
      <c r="A3" t="s">
        <v>11</v>
      </c>
      <c r="B3">
        <v>0.45394804224897578</v>
      </c>
      <c r="C3">
        <v>2.94599163001388</v>
      </c>
      <c r="D3">
        <v>0</v>
      </c>
      <c r="E3">
        <v>0.45395225203742851</v>
      </c>
      <c r="F3">
        <v>0.45395225203742801</v>
      </c>
      <c r="G3">
        <v>4.2097884521141724E-6</v>
      </c>
      <c r="H3">
        <v>9.2736371131981485E-4</v>
      </c>
      <c r="I3">
        <v>5.5511151231257827E-16</v>
      </c>
      <c r="J3">
        <v>1.222841190502145E-13</v>
      </c>
      <c r="L3">
        <f>5/10000</f>
        <v>5.0000000000000001E-4</v>
      </c>
      <c r="M3">
        <f>B2*B3/(B2-L3)</f>
        <v>0.45444755330746067</v>
      </c>
      <c r="N3">
        <f>M3*B4</f>
        <v>0.10336236565690732</v>
      </c>
    </row>
    <row r="4" spans="1:14" x14ac:dyDescent="0.35">
      <c r="A4" t="s">
        <v>12</v>
      </c>
      <c r="B4">
        <v>0.22744619242559011</v>
      </c>
      <c r="C4">
        <v>0</v>
      </c>
      <c r="D4">
        <v>0</v>
      </c>
      <c r="E4">
        <v>0.22744203661800191</v>
      </c>
      <c r="F4">
        <v>0.22744203661800211</v>
      </c>
      <c r="G4">
        <v>4.1558075879466472E-6</v>
      </c>
      <c r="H4">
        <v>1.8271941500974549E-3</v>
      </c>
      <c r="I4">
        <v>1.9428902930940239E-16</v>
      </c>
      <c r="J4">
        <v>8.5423535683387531E-14</v>
      </c>
    </row>
    <row r="5" spans="1:14" x14ac:dyDescent="0.35">
      <c r="A5" t="s">
        <v>13</v>
      </c>
      <c r="B5">
        <v>-0.81694693321578404</v>
      </c>
      <c r="C5">
        <v>1.237778132360581</v>
      </c>
      <c r="D5">
        <v>0</v>
      </c>
      <c r="E5">
        <v>0</v>
      </c>
      <c r="F5">
        <v>-0.77190216451562543</v>
      </c>
      <c r="G5">
        <v>4.5044768700158611E-2</v>
      </c>
      <c r="H5">
        <v>-5.8355541376703544</v>
      </c>
      <c r="I5">
        <v>0.77190216451562543</v>
      </c>
      <c r="J5">
        <v>-100</v>
      </c>
    </row>
    <row r="6" spans="1:14" x14ac:dyDescent="0.35">
      <c r="A6" t="s">
        <v>14</v>
      </c>
      <c r="B6">
        <v>0.15524071603405701</v>
      </c>
      <c r="C6">
        <v>3.551909447998818E-3</v>
      </c>
      <c r="D6">
        <v>0</v>
      </c>
      <c r="E6">
        <v>0</v>
      </c>
      <c r="F6">
        <v>0.15412405898336309</v>
      </c>
      <c r="G6">
        <v>1.1166570506939699E-3</v>
      </c>
      <c r="H6">
        <v>0.724518325081555</v>
      </c>
      <c r="I6">
        <v>0.15412405898336309</v>
      </c>
      <c r="J6">
        <v>100</v>
      </c>
    </row>
    <row r="7" spans="1:14" x14ac:dyDescent="0.35">
      <c r="A7" t="s">
        <v>15</v>
      </c>
      <c r="B7">
        <v>2.9061650783847481E-5</v>
      </c>
      <c r="C7">
        <v>3.2671473617363648E-7</v>
      </c>
      <c r="D7">
        <v>0</v>
      </c>
      <c r="E7">
        <v>0</v>
      </c>
      <c r="F7">
        <v>2.8955489524110659E-5</v>
      </c>
      <c r="G7">
        <v>1.061612597368281E-7</v>
      </c>
      <c r="H7">
        <v>0.3666360385599069</v>
      </c>
      <c r="I7">
        <v>2.8955489524110659E-5</v>
      </c>
      <c r="J7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Andreas Sørensen</cp:lastModifiedBy>
  <dcterms:created xsi:type="dcterms:W3CDTF">2025-12-06T11:54:27Z</dcterms:created>
  <dcterms:modified xsi:type="dcterms:W3CDTF">2025-12-07T12:24:08Z</dcterms:modified>
</cp:coreProperties>
</file>