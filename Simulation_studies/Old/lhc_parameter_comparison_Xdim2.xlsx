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KU, MAT-OEK\Kandidat\Thesis\Thesis_linear_CDS\Simulation_studies\"/>
    </mc:Choice>
  </mc:AlternateContent>
  <xr:revisionPtr revIDLastSave="0" documentId="13_ncr:1_{8B419F8F-102F-4DDC-927D-05A5AFC3B2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N6" i="1"/>
  <c r="L6" i="1"/>
  <c r="L7" i="1" s="1"/>
  <c r="L5" i="1"/>
  <c r="M7" i="1"/>
  <c r="N7" i="1"/>
  <c r="M4" i="1"/>
  <c r="N4" i="1"/>
  <c r="L4" i="1"/>
  <c r="M5" i="1"/>
  <c r="N5" i="1"/>
</calcChain>
</file>

<file path=xl/sharedStrings.xml><?xml version="1.0" encoding="utf-8"?>
<sst xmlns="http://schemas.openxmlformats.org/spreadsheetml/2006/main" count="95" uniqueCount="35">
  <si>
    <t>Parameter</t>
  </si>
  <si>
    <t>Estimated Kalman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</si>
  <si>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</si>
  <si>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</si>
  <si>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</si>
  <si>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</si>
  <si>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</si>
  <si>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</si>
  <si>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</si>
  <si>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 xml:space="preserve">  ↳ SE(kappa1)</t>
  </si>
  <si>
    <t>-</t>
  </si>
  <si>
    <t>kappa2</t>
  </si>
  <si>
    <t xml:space="preserve">  ↳ SE(kappa2)</t>
  </si>
  <si>
    <t>theta1</t>
  </si>
  <si>
    <t xml:space="preserve">  ↳ SE(theta1)</t>
  </si>
  <si>
    <t>theta2</t>
  </si>
  <si>
    <t xml:space="preserve">  ↳ SE(theta2)</t>
  </si>
  <si>
    <t>gamma1</t>
  </si>
  <si>
    <t xml:space="preserve">  ↳ SE(gamma1)</t>
  </si>
  <si>
    <t>lambda1</t>
  </si>
  <si>
    <t xml:space="preserve">  ↳ SE(lambda1)</t>
  </si>
  <si>
    <t>lambda2</t>
  </si>
  <si>
    <t xml:space="preserve">  ↳ SE(lambda2)</t>
  </si>
  <si>
    <t>sigma1</t>
  </si>
  <si>
    <t xml:space="preserve">  ↳ SE(sigma1)</t>
  </si>
  <si>
    <t>sigma2</t>
  </si>
  <si>
    <t xml:space="preserve">  ↳ SE(sigma2)</t>
  </si>
  <si>
    <t>sigma_err</t>
  </si>
  <si>
    <t xml:space="preserve">  ↳ SE(sigma_err)</t>
  </si>
  <si>
    <t>ltm</t>
  </si>
  <si>
    <t>RHS</t>
  </si>
  <si>
    <t>LHS</t>
  </si>
  <si>
    <t>RHS1</t>
  </si>
  <si>
    <t>RHS2</t>
  </si>
  <si>
    <t>&lt;-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</si>
</sst>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O7" sqref="O7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29</v>
      </c>
    </row>
    <row r="2" spans="1:15" x14ac:dyDescent="0.35">
      <c r="A2" t="s">
        <v>8</v>
      </c>
      <c r="B2">
        <v>1.432071374026618</v>
      </c>
      <c r="C2">
        <v>1.4978694163990269</v>
      </c>
      <c r="D2">
        <v>1.4978694153591241</v>
      </c>
      <c r="E2">
        <v>6.579804133250633E-2</v>
      </c>
      <c r="F2">
        <v>4.3927755422344896</v>
      </c>
      <c r="G2">
        <v>1.0399028305130291E-9</v>
      </c>
      <c r="H2">
        <v>6.9425466589402606E-8</v>
      </c>
      <c r="K2" s="3">
        <v>5.0000000000000001E-4</v>
      </c>
    </row>
    <row r="3" spans="1:15" x14ac:dyDescent="0.35">
      <c r="A3" t="s">
        <v>9</v>
      </c>
      <c r="B3">
        <v>5.7258607394174734E-7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15" x14ac:dyDescent="0.35">
      <c r="A4" t="s">
        <v>11</v>
      </c>
      <c r="B4">
        <v>0.93312106012471496</v>
      </c>
      <c r="C4">
        <v>0.84037087050091652</v>
      </c>
      <c r="D4">
        <v>0.84037087005866562</v>
      </c>
      <c r="E4">
        <v>9.2750190066049343E-2</v>
      </c>
      <c r="F4">
        <v>11.03681640697214</v>
      </c>
      <c r="G4">
        <v>4.4225090256588828E-10</v>
      </c>
      <c r="H4">
        <v>5.2625682103309348E-8</v>
      </c>
      <c r="K4" t="s">
        <v>31</v>
      </c>
      <c r="L4">
        <f>B10*B6*B8</f>
        <v>4.9955760316067242E-4</v>
      </c>
      <c r="M4">
        <f t="shared" ref="M4:N4" si="0">C10*C6*C8</f>
        <v>4.9953570786563119E-4</v>
      </c>
      <c r="N4">
        <f t="shared" si="0"/>
        <v>4.9953570786535916E-4</v>
      </c>
      <c r="O4" t="s">
        <v>34</v>
      </c>
    </row>
    <row r="5" spans="1:15" x14ac:dyDescent="0.35">
      <c r="A5" t="s">
        <v>12</v>
      </c>
      <c r="B5">
        <v>1.39869204458602E-3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K5" t="s">
        <v>32</v>
      </c>
      <c r="L5" s="4">
        <f>$K$2/(B2*B4)</f>
        <v>3.7416860893913314E-4</v>
      </c>
      <c r="M5" s="4">
        <f t="shared" ref="M5:N5" si="1">$K$2/(C2*C4)</f>
        <v>3.9721446986266208E-4</v>
      </c>
      <c r="N5" s="4">
        <f t="shared" si="1"/>
        <v>3.9721447034746688E-4</v>
      </c>
    </row>
    <row r="6" spans="1:15" x14ac:dyDescent="0.35">
      <c r="A6" t="s">
        <v>13</v>
      </c>
      <c r="B6">
        <v>0.34358099954425431</v>
      </c>
      <c r="C6">
        <v>0.52105881473579885</v>
      </c>
      <c r="D6">
        <v>0.51713777468030775</v>
      </c>
      <c r="E6">
        <v>0.17355677513605339</v>
      </c>
      <c r="F6">
        <v>33.561032211067051</v>
      </c>
      <c r="G6">
        <v>3.9210400554910976E-3</v>
      </c>
      <c r="H6">
        <v>0.75821961718326758</v>
      </c>
      <c r="K6" t="s">
        <v>33</v>
      </c>
      <c r="L6" s="4">
        <f>(B2-$K$2)*(B4-$K$2)</f>
        <v>1.3351136124888994</v>
      </c>
      <c r="M6" s="4">
        <f t="shared" ref="M6:N6" si="2">(C2-$K$2)*(C4-$K$2)</f>
        <v>1.2575969552125001</v>
      </c>
      <c r="N6" s="4">
        <f t="shared" si="2"/>
        <v>1.2575969536769032</v>
      </c>
    </row>
    <row r="7" spans="1:15" x14ac:dyDescent="0.35">
      <c r="A7" t="s">
        <v>14</v>
      </c>
      <c r="B7">
        <v>3.3761661422223501E-5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K7" t="s">
        <v>30</v>
      </c>
      <c r="L7" s="4">
        <f>L5*L6</f>
        <v>4.9955760316067232E-4</v>
      </c>
      <c r="M7" s="4">
        <f t="shared" ref="M7:N7" si="3">M5*M6</f>
        <v>4.9953570786563119E-4</v>
      </c>
      <c r="N7" s="4">
        <f t="shared" si="3"/>
        <v>4.9953570786535895E-4</v>
      </c>
      <c r="O7" t="s">
        <v>34</v>
      </c>
    </row>
    <row r="8" spans="1:15" x14ac:dyDescent="0.35">
      <c r="A8" t="s">
        <v>15</v>
      </c>
      <c r="B8">
        <v>7.6584131720010384E-2</v>
      </c>
      <c r="C8">
        <v>7.3585488009343836E-2</v>
      </c>
      <c r="D8">
        <v>0.1362189365177941</v>
      </c>
      <c r="E8">
        <v>5.9634804797783693E-2</v>
      </c>
      <c r="F8">
        <v>43.778645115169937</v>
      </c>
      <c r="G8">
        <v>6.2633448508450235E-2</v>
      </c>
      <c r="H8">
        <v>45.979986417137027</v>
      </c>
    </row>
    <row r="9" spans="1:15" x14ac:dyDescent="0.35">
      <c r="A9" t="s">
        <v>16</v>
      </c>
      <c r="B9">
        <v>3.4950657217165072E-3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15" x14ac:dyDescent="0.35">
      <c r="A10" t="s">
        <v>17</v>
      </c>
      <c r="B10">
        <v>1.8985307756916071E-2</v>
      </c>
      <c r="C10">
        <v>1.3028295976882201E-2</v>
      </c>
      <c r="D10">
        <v>7.0912498981362069E-3</v>
      </c>
      <c r="E10">
        <v>1.1894057858779859E-2</v>
      </c>
      <c r="F10">
        <v>167.72865192504321</v>
      </c>
      <c r="G10">
        <v>5.9370460787459972E-3</v>
      </c>
      <c r="H10">
        <v>83.723548937493121</v>
      </c>
    </row>
    <row r="11" spans="1:15" x14ac:dyDescent="0.35">
      <c r="A11" t="s">
        <v>18</v>
      </c>
      <c r="B11">
        <v>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15" x14ac:dyDescent="0.35">
      <c r="A12" t="s">
        <v>19</v>
      </c>
      <c r="B12">
        <v>-0.1020288046190964</v>
      </c>
      <c r="C12">
        <v>0</v>
      </c>
      <c r="D12">
        <v>-0.1091322623908523</v>
      </c>
      <c r="E12">
        <v>7.1034577717559166E-3</v>
      </c>
      <c r="F12">
        <v>-6.509035564859091</v>
      </c>
      <c r="G12">
        <v>0.1091322623908523</v>
      </c>
      <c r="H12">
        <v>-100</v>
      </c>
    </row>
    <row r="13" spans="1:15" x14ac:dyDescent="0.35">
      <c r="A13" t="s">
        <v>20</v>
      </c>
      <c r="B13">
        <v>4.3966244228444006E-6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4" spans="1:15" x14ac:dyDescent="0.35">
      <c r="A14" t="s">
        <v>21</v>
      </c>
      <c r="B14">
        <v>0.76934251659370623</v>
      </c>
      <c r="C14">
        <v>0</v>
      </c>
      <c r="D14">
        <v>0.69383586871335234</v>
      </c>
      <c r="E14">
        <v>7.5506647880353883E-2</v>
      </c>
      <c r="F14">
        <v>10.88249415821832</v>
      </c>
      <c r="G14">
        <v>0.69383586871335234</v>
      </c>
      <c r="H14">
        <v>100</v>
      </c>
    </row>
    <row r="15" spans="1:15" x14ac:dyDescent="0.35">
      <c r="A15" t="s">
        <v>22</v>
      </c>
      <c r="B15">
        <v>1.6892487715048901E-3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</row>
    <row r="16" spans="1:15" x14ac:dyDescent="0.35">
      <c r="A16" t="s">
        <v>23</v>
      </c>
      <c r="B16">
        <v>0.19758368496735221</v>
      </c>
      <c r="C16">
        <v>0</v>
      </c>
      <c r="D16">
        <v>0.50203499291237352</v>
      </c>
      <c r="E16">
        <v>0.30445130794502129</v>
      </c>
      <c r="F16">
        <v>60.643443633053877</v>
      </c>
      <c r="G16">
        <v>0.50203499291237352</v>
      </c>
      <c r="H16">
        <v>100</v>
      </c>
    </row>
    <row r="17" spans="1:8" x14ac:dyDescent="0.35">
      <c r="A17" t="s">
        <v>24</v>
      </c>
      <c r="B17">
        <v>4.5624848310299709E-3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</row>
    <row r="18" spans="1:8" x14ac:dyDescent="0.35">
      <c r="A18" t="s">
        <v>25</v>
      </c>
      <c r="B18">
        <v>6.2035408869149163E-2</v>
      </c>
      <c r="C18">
        <v>0</v>
      </c>
      <c r="D18">
        <v>0.10550101080050329</v>
      </c>
      <c r="E18">
        <v>4.3465601931354111E-2</v>
      </c>
      <c r="F18">
        <v>41.199227951991119</v>
      </c>
      <c r="G18">
        <v>0.10550101080050329</v>
      </c>
      <c r="H18">
        <v>100</v>
      </c>
    </row>
    <row r="19" spans="1:8" x14ac:dyDescent="0.35">
      <c r="A19" t="s">
        <v>26</v>
      </c>
      <c r="B19">
        <v>2.7308374454441661E-2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</row>
    <row r="20" spans="1:8" x14ac:dyDescent="0.35">
      <c r="A20" t="s">
        <v>27</v>
      </c>
      <c r="B20">
        <v>1.0439736606456491E-5</v>
      </c>
      <c r="C20">
        <v>0</v>
      </c>
      <c r="D20">
        <v>6.8287536062031033E-5</v>
      </c>
      <c r="E20">
        <v>5.7847799455574539E-5</v>
      </c>
      <c r="F20">
        <v>84.712090655938667</v>
      </c>
      <c r="G20">
        <v>6.8287536062031033E-5</v>
      </c>
      <c r="H20">
        <v>100</v>
      </c>
    </row>
    <row r="21" spans="1:8" x14ac:dyDescent="0.35">
      <c r="A21" t="s">
        <v>28</v>
      </c>
      <c r="B21">
        <v>1.9792244069356651E-7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2025-11-24T15:29:07Z</dcterms:created>
  <dcterms:modified xsi:type="dcterms:W3CDTF">2025-11-24T15:39:21Z</dcterms:modified>
</cp:coreProperties>
</file>