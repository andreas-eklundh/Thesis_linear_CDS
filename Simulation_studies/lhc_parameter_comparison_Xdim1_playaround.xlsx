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Simulation_studies/"/>
    </mc:Choice>
  </mc:AlternateContent>
  <xr:revisionPtr revIDLastSave="2" documentId="13_ncr:1_{DF3ADE80-0726-45E1-B892-B7A5BB7A274C}" xr6:coauthVersionLast="47" xr6:coauthVersionMax="47" xr10:uidLastSave="{E91F3C8D-C4C2-4416-BD23-48DC9044F402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solver_adj" localSheetId="0" hidden="1">Sheet1!$O$18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N17" i="1"/>
  <c r="Q18" i="1"/>
  <c r="P18" i="1"/>
  <c r="O18" i="1"/>
  <c r="N18" i="1"/>
  <c r="L21" i="1"/>
  <c r="M11" i="1"/>
  <c r="L11" i="1"/>
  <c r="K11" i="1"/>
  <c r="K6" i="1"/>
  <c r="L6" i="1"/>
  <c r="M6" i="1"/>
  <c r="K3" i="1"/>
  <c r="M3" i="1"/>
  <c r="L3" i="1"/>
</calcChain>
</file>

<file path=xl/sharedStrings.xml><?xml version="1.0" encoding="utf-8"?>
<sst xmlns="http://schemas.openxmlformats.org/spreadsheetml/2006/main" count="73" uniqueCount="35">
  <si>
    <t>Parameter</t>
  </si>
  <si>
    <t>Estimated Kalman</t>
  </si>
  <si>
    <t>Filipovic</t>
  </si>
  <si>
    <t>True</t>
  </si>
  <si>
    <t>Abs Error, Kalman</t>
  </si>
  <si>
    <t>Rel Error (%), Kalman</t>
  </si>
  <si>
    <t>Abs Error, Filipovic</t>
  </si>
  <si>
    <t>Rel Error (%), Filipovic</t>
  </si>
  <si>
    <t>kappa1</t>
  </si>
  <si>
    <t xml:space="preserve">  ↳ SE(kappa1)</t>
  </si>
  <si>
    <t>-</t>
  </si>
  <si>
    <t>theta1</t>
  </si>
  <si>
    <t xml:space="preserve">  ↳ SE(theta1)</t>
  </si>
  <si>
    <t>gamma1</t>
  </si>
  <si>
    <t xml:space="preserve">  ↳ SE(gamma1)</t>
  </si>
  <si>
    <t>lambda1</t>
  </si>
  <si>
    <t xml:space="preserve">  ↳ SE(lambda1)</t>
  </si>
  <si>
    <t>sigma1</t>
  </si>
  <si>
    <t xml:space="preserve">  ↳ SE(sigma1)</t>
  </si>
  <si>
    <t>sigma_err</t>
  </si>
  <si>
    <t xml:space="preserve">  ↳ SE(sigma_err)</t>
  </si>
  <si>
    <t>&lt;- "Perfectly" estimates product of theta*gamma1</t>
  </si>
  <si>
    <t>LT intensity</t>
  </si>
  <si>
    <t>Filipovic values</t>
  </si>
  <si>
    <t>theta2</t>
  </si>
  <si>
    <t>theta3</t>
  </si>
  <si>
    <t>kappa2</t>
  </si>
  <si>
    <t>kappa3</t>
  </si>
  <si>
    <t>d=2</t>
  </si>
  <si>
    <t>d=3</t>
  </si>
  <si>
    <t>LHS</t>
  </si>
  <si>
    <t>RHS</t>
  </si>
  <si>
    <t>bound/kappas</t>
  </si>
  <si>
    <t>kappas-bound</t>
  </si>
  <si>
    <t>bar/kappas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</si>
</sst>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"/>
    <numFmt numFmtId="166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C18" sqref="C18"/>
    </sheetView>
  </sheetViews>
  <sheetFormatPr defaultRowHeight="14.5" x14ac:dyDescent="0.35"/>
  <cols>
    <col min="11" max="11" width="12.26953125" customWidth="1"/>
    <col min="12" max="12" width="14.6328125" customWidth="1"/>
    <col min="13" max="13" width="14.90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35">
      <c r="A2" t="s">
        <v>8</v>
      </c>
      <c r="B2">
        <v>1.5348907187418981</v>
      </c>
      <c r="C2">
        <v>1.497869415339677</v>
      </c>
      <c r="D2">
        <v>1.4978694153591241</v>
      </c>
      <c r="E2">
        <v>3.7021303382773978E-2</v>
      </c>
      <c r="F2">
        <v>2.4715975240003072</v>
      </c>
      <c r="G2">
        <v>1.9446666499334239E-11</v>
      </c>
      <c r="H2">
        <v>1.2982885089934081E-9</v>
      </c>
    </row>
    <row r="3" spans="1:16" x14ac:dyDescent="0.35">
      <c r="A3" t="s">
        <v>9</v>
      </c>
      <c r="B3">
        <v>5.32258937246714E-7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K3">
        <f>B4*B6</f>
        <v>8.328808943186437E-4</v>
      </c>
      <c r="L3">
        <f>C4*C6</f>
        <v>8.3286971184715248E-4</v>
      </c>
      <c r="M3">
        <f>D4*D6</f>
        <v>8.3286971184715855E-4</v>
      </c>
      <c r="N3" t="s">
        <v>21</v>
      </c>
    </row>
    <row r="4" spans="1:16" x14ac:dyDescent="0.35">
      <c r="A4" t="s">
        <v>11</v>
      </c>
      <c r="B4">
        <v>0.75495467782967018</v>
      </c>
      <c r="C4">
        <v>0.20732691327134059</v>
      </c>
      <c r="D4">
        <v>0.42598358067903952</v>
      </c>
      <c r="E4">
        <v>0.32897109715063072</v>
      </c>
      <c r="F4">
        <v>77.226238773389838</v>
      </c>
      <c r="G4">
        <v>0.21865666740769879</v>
      </c>
      <c r="H4">
        <v>51.329834605162247</v>
      </c>
    </row>
    <row r="5" spans="1:16" x14ac:dyDescent="0.35">
      <c r="A5" t="s">
        <v>12</v>
      </c>
      <c r="B5">
        <v>1.7088544564243369E-5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</row>
    <row r="6" spans="1:16" x14ac:dyDescent="0.35">
      <c r="A6" t="s">
        <v>13</v>
      </c>
      <c r="B6">
        <v>1.1032197279881679E-3</v>
      </c>
      <c r="C6">
        <v>4.0171808797304009E-3</v>
      </c>
      <c r="D6">
        <v>1.955168578374598E-3</v>
      </c>
      <c r="E6">
        <v>8.519488503864307E-4</v>
      </c>
      <c r="F6">
        <v>43.574188937441207</v>
      </c>
      <c r="G6">
        <v>2.0620123013558029E-3</v>
      </c>
      <c r="H6">
        <v>105.4646808547848</v>
      </c>
      <c r="K6" s="2">
        <f>(0.0005-0.0005/B2)</f>
        <v>1.7424390942318398E-4</v>
      </c>
      <c r="L6" s="2">
        <f t="shared" ref="L6" si="0">(0.0005-0.0005/C2)</f>
        <v>1.6619252994987333E-4</v>
      </c>
      <c r="M6" s="2">
        <f>(0.0005-0.0005/D2)</f>
        <v>1.6619252995420721E-4</v>
      </c>
    </row>
    <row r="7" spans="1:16" x14ac:dyDescent="0.35">
      <c r="A7" t="s">
        <v>14</v>
      </c>
      <c r="B7">
        <v>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</row>
    <row r="8" spans="1:16" x14ac:dyDescent="0.35">
      <c r="A8" t="s">
        <v>15</v>
      </c>
      <c r="B8">
        <v>-0.1055977277013483</v>
      </c>
      <c r="C8">
        <v>0</v>
      </c>
      <c r="D8">
        <v>-4.8298864231795191E-2</v>
      </c>
      <c r="E8">
        <v>5.7298863469553152E-2</v>
      </c>
      <c r="F8">
        <v>-118.6339769700697</v>
      </c>
      <c r="G8">
        <v>4.8298864231795191E-2</v>
      </c>
      <c r="H8">
        <v>-100</v>
      </c>
    </row>
    <row r="9" spans="1:16" x14ac:dyDescent="0.35">
      <c r="A9" t="s">
        <v>16</v>
      </c>
      <c r="B9">
        <v>7.8648909081859249E-6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</row>
    <row r="10" spans="1:16" x14ac:dyDescent="0.35">
      <c r="A10" t="s">
        <v>17</v>
      </c>
      <c r="B10">
        <v>0.36497253980833472</v>
      </c>
      <c r="C10">
        <v>0</v>
      </c>
      <c r="D10">
        <v>0.14402494773329519</v>
      </c>
      <c r="E10">
        <v>0.22094759207503939</v>
      </c>
      <c r="F10">
        <v>153.4092499614645</v>
      </c>
      <c r="G10">
        <v>0.14402494773329519</v>
      </c>
      <c r="H10">
        <v>100</v>
      </c>
      <c r="J10" t="s">
        <v>22</v>
      </c>
    </row>
    <row r="11" spans="1:16" x14ac:dyDescent="0.35">
      <c r="A11" t="s">
        <v>18</v>
      </c>
      <c r="B11">
        <v>1.7727559835266419E-2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J11" s="3">
        <v>5.0000000000000001E-4</v>
      </c>
      <c r="K11">
        <f>(1-0.0005)*B2</f>
        <v>1.5341232733825272</v>
      </c>
      <c r="L11">
        <f t="shared" ref="L11" si="1">(1-0.0005)*C2</f>
        <v>1.4971204806320073</v>
      </c>
      <c r="M11">
        <f>(1-0.0005)*D2</f>
        <v>1.4971204806514447</v>
      </c>
    </row>
    <row r="12" spans="1:16" x14ac:dyDescent="0.35">
      <c r="A12" t="s">
        <v>19</v>
      </c>
      <c r="B12">
        <v>1.032931162980259E-6</v>
      </c>
      <c r="C12">
        <v>0</v>
      </c>
      <c r="D12">
        <v>5.6719113945611678E-5</v>
      </c>
      <c r="E12">
        <v>5.5686182782631419E-5</v>
      </c>
      <c r="F12">
        <v>98.178865833534104</v>
      </c>
      <c r="G12">
        <v>5.6719113945611678E-5</v>
      </c>
      <c r="H12">
        <v>100</v>
      </c>
    </row>
    <row r="13" spans="1:16" x14ac:dyDescent="0.35">
      <c r="A13" t="s">
        <v>20</v>
      </c>
      <c r="B13">
        <v>1.230875539807039E-8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</row>
    <row r="16" spans="1:16" x14ac:dyDescent="0.35">
      <c r="J16" t="s">
        <v>23</v>
      </c>
      <c r="K16" t="s">
        <v>28</v>
      </c>
      <c r="L16" t="s">
        <v>29</v>
      </c>
      <c r="O16" t="s">
        <v>32</v>
      </c>
      <c r="P16" t="s">
        <v>33</v>
      </c>
    </row>
    <row r="17" spans="2:17" x14ac:dyDescent="0.35">
      <c r="J17" t="s">
        <v>13</v>
      </c>
      <c r="K17">
        <v>0.20499999999999999</v>
      </c>
      <c r="L17">
        <v>0.20100000000000001</v>
      </c>
      <c r="M17" t="s">
        <v>30</v>
      </c>
      <c r="N17">
        <f>L18*L19*L20*L17</f>
        <v>5.6480317001999986E-2</v>
      </c>
    </row>
    <row r="18" spans="2:17" x14ac:dyDescent="0.35">
      <c r="B18" t="s">
        <v>34</v>
      </c>
      <c r="C18" s="3">
        <f>J11/(B2-B8)</f>
        <v>3.0478727301253065E-4</v>
      </c>
      <c r="J18" t="s">
        <v>11</v>
      </c>
      <c r="K18">
        <v>0.624</v>
      </c>
      <c r="L18">
        <v>0.84099999999999997</v>
      </c>
      <c r="M18" t="s">
        <v>31</v>
      </c>
      <c r="N18" s="5">
        <f>$J$11*(1-J11/L21)*(1-J11/L22)*(1-J11/L23)</f>
        <v>4.9877934751929348E-4</v>
      </c>
      <c r="O18" s="4">
        <f>J11/(L21*L22*L23)</f>
        <v>1.5393219483850575E-3</v>
      </c>
      <c r="P18" s="3">
        <f>(L21-J11)*(L22-J11)*(L23-J11)</f>
        <v>0.32402535937500004</v>
      </c>
      <c r="Q18" s="3">
        <f>O18*P18</f>
        <v>4.9877934751929348E-4</v>
      </c>
    </row>
    <row r="19" spans="2:17" x14ac:dyDescent="0.35">
      <c r="J19" t="s">
        <v>24</v>
      </c>
      <c r="K19">
        <v>0.51200000000000001</v>
      </c>
      <c r="L19">
        <v>0.69899999999999995</v>
      </c>
    </row>
    <row r="20" spans="2:17" x14ac:dyDescent="0.35">
      <c r="J20" t="s">
        <v>25</v>
      </c>
      <c r="L20">
        <v>0.47799999999999998</v>
      </c>
    </row>
    <row r="21" spans="2:17" x14ac:dyDescent="0.35">
      <c r="J21" t="s">
        <v>8</v>
      </c>
      <c r="K21">
        <v>0.54600000000000004</v>
      </c>
      <c r="L21">
        <f>1.263</f>
        <v>1.2629999999999999</v>
      </c>
    </row>
    <row r="22" spans="2:17" x14ac:dyDescent="0.35">
      <c r="J22" t="s">
        <v>26</v>
      </c>
      <c r="K22">
        <v>0.42099999999999999</v>
      </c>
      <c r="L22">
        <v>0.66800000000000004</v>
      </c>
    </row>
    <row r="23" spans="2:17" x14ac:dyDescent="0.35">
      <c r="J23" t="s">
        <v>27</v>
      </c>
      <c r="L23">
        <v>0.38500000000000001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2025-11-24T14:10:01Z</dcterms:created>
  <dcterms:modified xsi:type="dcterms:W3CDTF">2025-11-26T15:11:58Z</dcterms:modified>
</cp:coreProperties>
</file>